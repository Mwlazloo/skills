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NFIG" sheetId="2" state="visible" r:id="rId2"/>
    <sheet name="PCA" sheetId="3" state="visible" r:id="rId3"/>
    <sheet name="REGRESSION" sheetId="4" state="visible" r:id="rId4"/>
    <sheet name="PCA_REG" sheetId="5" state="visible" r:id="rId5"/>
    <sheet name="CHARTS" sheetId="6" state="visible" r:id="rId6"/>
  </sheets>
  <definedNames>
    <definedName name="DATA_START_ROW">CONFIG!$B$10</definedName>
    <definedName name="DATA_END_ROW">CONFIG!$B$11</definedName>
    <definedName name="NUM_PCS">CONFIG!$B$6</definedName>
    <definedName name="MATRIX_TYPE">CONFIG!$B$7</definedName>
    <definedName name="CONF_LEVEL">CONFIG!$B$8</definedName>
    <definedName name="INCLUDE_INT">CONFIG!$B$9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2E75B6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1F3864"/>
      <sz val="9"/>
    </font>
    <font>
      <name val="Courier New"/>
      <color rgb="002E75B6"/>
      <sz val="9"/>
    </font>
    <font>
      <name val="Calibri"/>
      <i val="1"/>
      <color rgb="00595959"/>
      <sz val="9"/>
    </font>
    <font>
      <name val="Calibri"/>
      <b val="1"/>
      <sz val="10"/>
    </font>
    <font>
      <name val="Calibri"/>
      <color rgb="00595959"/>
      <sz val="10"/>
    </font>
    <font>
      <name val="Calibri"/>
      <i val="1"/>
      <sz val="9"/>
    </font>
    <font>
      <name val="Calibri"/>
      <i val="1"/>
      <color rgb="002E75B6"/>
      <sz val="10"/>
    </font>
    <font>
      <name val="Calibri"/>
      <i val="1"/>
      <color rgb="00D9D9D9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right"/>
    </xf>
    <xf numFmtId="0" fontId="6" fillId="0" borderId="0" pivotButton="0" quotePrefix="0" xfId="0"/>
    <xf numFmtId="0" fontId="7" fillId="0" borderId="0" applyAlignment="1" pivotButton="0" quotePrefix="0" xfId="0">
      <alignment horizontal="left"/>
    </xf>
    <xf numFmtId="165" fontId="4" fillId="5" borderId="1" applyAlignment="1" pivotButton="0" quotePrefix="0" xfId="0">
      <alignment horizontal="right"/>
    </xf>
    <xf numFmtId="0" fontId="3" fillId="4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0" fillId="5" borderId="1" pivotButton="0" quotePrefix="0" xfId="0"/>
    <xf numFmtId="0" fontId="11" fillId="0" borderId="0" pivotButton="0" quotePrefix="0" xfId="0"/>
    <xf numFmtId="0" fontId="0" fillId="8" borderId="0" pivotButton="0" quotePrefix="0" xfId="0"/>
    <xf numFmtId="0" fontId="9" fillId="0" borderId="1" pivotButton="0" quotePrefix="0" xfId="0"/>
    <xf numFmtId="165" fontId="0" fillId="0" borderId="1" pivotButton="0" quotePrefix="0" xfId="0"/>
    <xf numFmtId="165" fontId="0" fillId="5" borderId="1" pivotButton="0" quotePrefix="0" xfId="0"/>
    <xf numFmtId="165" fontId="0" fillId="9" borderId="1" pivotButton="0" quotePrefix="0" xfId="0"/>
    <xf numFmtId="10" fontId="0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10" fontId="0" fillId="5" borderId="1" pivotButton="0" quotePrefix="0" xfId="0"/>
    <xf numFmtId="0" fontId="2" fillId="5" borderId="1" pivotButton="0" quotePrefix="0" xfId="0"/>
    <xf numFmtId="0" fontId="5" fillId="7" borderId="0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12" fillId="0" borderId="1" pivotButton="0" quotePrefix="0" xfId="0"/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P54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0" customWidth="1" min="14" max="14"/>
    <col width="20" customWidth="1" min="15" max="15"/>
    <col width="20" customWidth="1" min="16" max="16"/>
  </cols>
  <sheetData>
    <row r="1" ht="28" customHeight="1">
      <c r="A1" s="1" t="inlineStr">
        <is>
          <t>PCA ANALYTICS  ·  DATA INPUT</t>
        </is>
      </c>
    </row>
    <row r="2" ht="18" customHeight="1">
      <c r="A2" s="2" t="inlineStr">
        <is>
          <t>Replace placeholder formulas with CIQ PRO =CIQ() functions. Keep headers in Row 4. Data starts Row 5. Add/remove factor columns freely.</t>
        </is>
      </c>
    </row>
    <row r="3" ht="6" customHeight="1"/>
    <row r="4" ht="22" customHeight="1">
      <c r="A4" s="3" t="inlineStr">
        <is>
          <t>Date</t>
        </is>
      </c>
      <c r="B4" s="3" t="inlineStr">
        <is>
          <t>Dep Var Return</t>
        </is>
      </c>
      <c r="C4" s="4" t="inlineStr">
        <is>
          <t>Factor 1</t>
        </is>
      </c>
      <c r="D4" s="4" t="inlineStr">
        <is>
          <t>Factor 2</t>
        </is>
      </c>
      <c r="E4" s="4" t="inlineStr">
        <is>
          <t>Factor 3</t>
        </is>
      </c>
      <c r="F4" s="4" t="inlineStr">
        <is>
          <t>Factor 4</t>
        </is>
      </c>
      <c r="G4" s="4" t="inlineStr">
        <is>
          <t>Factor 5</t>
        </is>
      </c>
      <c r="H4" s="4" t="inlineStr">
        <is>
          <t>Factor 6</t>
        </is>
      </c>
      <c r="I4" s="4" t="inlineStr">
        <is>
          <t>Factor 7</t>
        </is>
      </c>
      <c r="J4" s="4" t="inlineStr">
        <is>
          <t>Factor 8</t>
        </is>
      </c>
      <c r="K4" s="4" t="inlineStr">
        <is>
          <t>Factor 9</t>
        </is>
      </c>
      <c r="L4" s="4" t="inlineStr">
        <is>
          <t>Factor 10</t>
        </is>
      </c>
      <c r="N4" s="5" t="inlineStr">
        <is>
          <t>CIQ PRO Formula Reference</t>
        </is>
      </c>
    </row>
    <row r="5" ht="16" customHeight="1">
      <c r="A5" s="6">
        <f>IFERROR(DATE(2020,1,1),"")</f>
        <v/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N5" s="8" t="inlineStr">
        <is>
          <t>Single value:</t>
        </is>
      </c>
      <c r="O5" s="9">
        <f>CIQ("TICKER","IQ_TOTAL_RETURN","IQ_FY0")</f>
        <v/>
      </c>
    </row>
    <row r="6" ht="16" customHeight="1">
      <c r="A6" s="6">
        <f>A5+7</f>
        <v/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N6" s="8" t="inlineStr">
        <is>
          <t>Time series:</t>
        </is>
      </c>
      <c r="O6" s="9">
        <f>CIQRANGE("TICKER","IQ_TOTAL_RETURN",start,end,"IQ_MONTHLY")</f>
        <v/>
      </c>
    </row>
    <row r="7" ht="16" customHeight="1">
      <c r="A7" s="6">
        <f>A6+7</f>
        <v/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N7" s="8" t="inlineStr">
        <is>
          <t>Index return:</t>
        </is>
      </c>
      <c r="O7" s="9">
        <f>CIQ("SP500","IQ_TOTAL_RETURN","IQ_FY-1")</f>
        <v/>
      </c>
    </row>
    <row r="8" ht="16" customHeight="1">
      <c r="A8" s="6">
        <f>A7+7</f>
        <v/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N8" s="8" t="inlineStr">
        <is>
          <t>Tip:</t>
        </is>
      </c>
      <c r="O8" s="9" t="inlineStr">
        <is>
          <t>Paste Transpose for vertical time series</t>
        </is>
      </c>
    </row>
    <row r="9" ht="16" customHeight="1">
      <c r="A9" s="6">
        <f>A8+7</f>
        <v/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6" customHeight="1">
      <c r="A10" s="6">
        <f>A9+7</f>
        <v/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6" customHeight="1">
      <c r="A11" s="6">
        <f>A10+7</f>
        <v/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6" customHeight="1">
      <c r="A12" s="6">
        <f>A11+7</f>
        <v/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6" customHeight="1">
      <c r="A13" s="6">
        <f>A12+7</f>
        <v/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6" customHeight="1">
      <c r="A14" s="6">
        <f>A13+7</f>
        <v/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6" customHeight="1">
      <c r="A15" s="6">
        <f>A14+7</f>
        <v/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16" customHeight="1">
      <c r="A16" s="6">
        <f>A15+7</f>
        <v/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6" customHeight="1">
      <c r="A17" s="6">
        <f>A16+7</f>
        <v/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16" customHeight="1">
      <c r="A18" s="6">
        <f>A17+7</f>
        <v/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6" customHeight="1">
      <c r="A19" s="6">
        <f>A18+7</f>
        <v/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16" customHeight="1">
      <c r="A20" s="6">
        <f>A19+7</f>
        <v/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6" customHeight="1">
      <c r="A21" s="6">
        <f>A20+7</f>
        <v/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16" customHeight="1">
      <c r="A22" s="6">
        <f>A21+7</f>
        <v/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6" customHeight="1">
      <c r="A23" s="6">
        <f>A22+7</f>
        <v/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16" customHeight="1">
      <c r="A24" s="6">
        <f>A23+7</f>
        <v/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6" customHeight="1">
      <c r="A25" s="6">
        <f>A24+7</f>
        <v/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16" customHeight="1">
      <c r="A26" s="6">
        <f>A25+7</f>
        <v/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6" customHeight="1">
      <c r="A27" s="6">
        <f>A26+7</f>
        <v/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16" customHeight="1">
      <c r="A28" s="6">
        <f>A27+7</f>
        <v/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6" customHeight="1">
      <c r="A29" s="6">
        <f>A28+7</f>
        <v/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16" customHeight="1">
      <c r="A30" s="6">
        <f>A29+7</f>
        <v/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6" customHeight="1">
      <c r="A31" s="6">
        <f>A30+7</f>
        <v/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16" customHeight="1">
      <c r="A32" s="6">
        <f>A31+7</f>
        <v/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6" customHeight="1">
      <c r="A33" s="6">
        <f>A32+7</f>
        <v/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16" customHeight="1">
      <c r="A34" s="6">
        <f>A33+7</f>
        <v/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6" customHeight="1">
      <c r="A35" s="6">
        <f>A34+7</f>
        <v/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16" customHeight="1">
      <c r="A36" s="6">
        <f>A35+7</f>
        <v/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6" customHeight="1">
      <c r="A37" s="6">
        <f>A36+7</f>
        <v/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6" customHeight="1">
      <c r="A38" s="6">
        <f>A37+7</f>
        <v/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6" customHeight="1">
      <c r="A39" s="6">
        <f>A38+7</f>
        <v/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16" customHeight="1">
      <c r="A40" s="6">
        <f>A39+7</f>
        <v/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6" customHeight="1">
      <c r="A41" s="6">
        <f>A40+7</f>
        <v/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16" customHeight="1">
      <c r="A42" s="6">
        <f>A41+7</f>
        <v/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6" customHeight="1">
      <c r="A43" s="6">
        <f>A42+7</f>
        <v/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16" customHeight="1">
      <c r="A44" s="6">
        <f>A43+7</f>
        <v/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6" customHeight="1">
      <c r="A45" s="6">
        <f>A44+7</f>
        <v/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16" customHeight="1">
      <c r="A46" s="6">
        <f>A45+7</f>
        <v/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6" customHeight="1">
      <c r="A47" s="6">
        <f>A46+7</f>
        <v/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16" customHeight="1">
      <c r="A48" s="6">
        <f>A47+7</f>
        <v/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6" customHeight="1">
      <c r="A49" s="6">
        <f>A48+7</f>
        <v/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16" customHeight="1">
      <c r="A50" s="6">
        <f>A49+7</f>
        <v/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6" customHeight="1">
      <c r="A51" s="6">
        <f>A50+7</f>
        <v/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16" customHeight="1">
      <c r="A52" s="6">
        <f>A51+7</f>
        <v/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6" customHeight="1">
      <c r="A53" s="6">
        <f>A52+7</f>
        <v/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 ht="16" customHeight="1">
      <c r="A54" s="6">
        <f>A53+7</f>
        <v/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</sheetData>
  <mergeCells count="7">
    <mergeCell ref="O7:P7"/>
    <mergeCell ref="A2:L2"/>
    <mergeCell ref="O5:P5"/>
    <mergeCell ref="A1:L1"/>
    <mergeCell ref="O6:P6"/>
    <mergeCell ref="N4:P4"/>
    <mergeCell ref="O8:P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0" customWidth="1" min="4" max="4"/>
    <col width="18" customWidth="1" min="5" max="5"/>
    <col width="16" customWidth="1" min="6" max="6"/>
  </cols>
  <sheetData>
    <row r="1" ht="30" customHeight="1">
      <c r="A1" s="1" t="inlineStr">
        <is>
          <t>CONFIGURATION &amp; LABELS</t>
        </is>
      </c>
    </row>
    <row r="3" ht="20" customHeight="1">
      <c r="A3" s="11" t="inlineStr">
        <is>
          <t>A.  ANALYSIS SETTINGS</t>
        </is>
      </c>
    </row>
    <row r="4" ht="18" customHeight="1">
      <c r="A4" s="12" t="inlineStr">
        <is>
          <t>Dependent Variable Name</t>
        </is>
      </c>
      <c r="B4" s="13" t="inlineStr">
        <is>
          <t>Portfolio Return</t>
        </is>
      </c>
      <c r="C4" s="14" t="inlineStr">
        <is>
          <t>Displayed in all outputs</t>
        </is>
      </c>
    </row>
    <row r="5" ht="18" customHeight="1">
      <c r="A5" s="12" t="inlineStr">
        <is>
          <t>Number of Factors (auto)</t>
        </is>
      </c>
      <c r="B5" s="13">
        <f>COUNTA(DATA!B4:K4)-1</f>
        <v/>
      </c>
      <c r="C5" s="14" t="inlineStr">
        <is>
          <t>Auto-counted — do not edit</t>
        </is>
      </c>
    </row>
    <row r="6" ht="18" customHeight="1">
      <c r="A6" s="12" t="inlineStr">
        <is>
          <t>PCs to Retain</t>
        </is>
      </c>
      <c r="B6" s="13" t="n">
        <v>5</v>
      </c>
      <c r="C6" s="14" t="inlineStr">
        <is>
          <t>PCs shown in output / charts</t>
        </is>
      </c>
    </row>
    <row r="7" ht="18" customHeight="1">
      <c r="A7" s="12" t="inlineStr">
        <is>
          <t>Matrix Type</t>
        </is>
      </c>
      <c r="B7" s="13" t="inlineStr">
        <is>
          <t>Correlation</t>
        </is>
      </c>
      <c r="C7" s="14" t="inlineStr">
        <is>
          <t>Correlation or Covariance</t>
        </is>
      </c>
    </row>
    <row r="8" ht="18" customHeight="1">
      <c r="A8" s="12" t="inlineStr">
        <is>
          <t>Confidence Level</t>
        </is>
      </c>
      <c r="B8" s="13" t="n">
        <v>0.95</v>
      </c>
      <c r="C8" s="14" t="inlineStr">
        <is>
          <t>For regression CIs (e.g. 0.95)</t>
        </is>
      </c>
    </row>
    <row r="9" ht="18" customHeight="1">
      <c r="A9" s="12" t="inlineStr">
        <is>
          <t>Include Intercept</t>
        </is>
      </c>
      <c r="B9" s="13" t="inlineStr">
        <is>
          <t>Yes</t>
        </is>
      </c>
      <c r="C9" s="14" t="inlineStr">
        <is>
          <t>Yes / No</t>
        </is>
      </c>
    </row>
    <row r="10" ht="18" customHeight="1">
      <c r="A10" s="12" t="inlineStr">
        <is>
          <t>Data Start Row (DATA)</t>
        </is>
      </c>
      <c r="B10" s="13" t="n">
        <v>5</v>
      </c>
      <c r="C10" s="14" t="inlineStr">
        <is>
          <t>First data row on DATA sheet</t>
        </is>
      </c>
    </row>
    <row r="11" ht="18" customHeight="1">
      <c r="A11" s="12" t="inlineStr">
        <is>
          <t>Data End Row (DATA)</t>
        </is>
      </c>
      <c r="B11" s="13">
        <f>COUNTA(DATA!A:A)+3</f>
        <v/>
      </c>
      <c r="C11" s="14" t="inlineStr">
        <is>
          <t>Last data row (auto)</t>
        </is>
      </c>
    </row>
    <row r="13" ht="20" customHeight="1">
      <c r="A13" s="11" t="inlineStr">
        <is>
          <t>B.  FACTOR LABELS  (auto-populated from DATA Row 4 — edit Display Name)</t>
        </is>
      </c>
    </row>
    <row r="14" ht="18" customHeight="1">
      <c r="A14" s="12" t="inlineStr">
        <is>
          <t>Factor #</t>
        </is>
      </c>
      <c r="B14" s="12" t="inlineStr">
        <is>
          <t>DATA Header (auto)</t>
        </is>
      </c>
      <c r="C14" s="12" t="inlineStr">
        <is>
          <t>Display Name</t>
        </is>
      </c>
      <c r="D14" s="12" t="inlineStr">
        <is>
          <t>Color Tag</t>
        </is>
      </c>
    </row>
    <row r="15" ht="16" customHeight="1">
      <c r="A15" s="15" t="inlineStr">
        <is>
          <t>Factor 1</t>
        </is>
      </c>
      <c r="B15" s="16">
        <f>IFERROR(DATA!C$4,"")</f>
        <v/>
      </c>
      <c r="C15" s="17">
        <f>B15</f>
        <v/>
      </c>
      <c r="D15" s="18" t="inlineStr"/>
    </row>
    <row r="16" ht="16" customHeight="1">
      <c r="A16" s="15" t="inlineStr">
        <is>
          <t>Factor 2</t>
        </is>
      </c>
      <c r="B16" s="16">
        <f>IFERROR(DATA!D$4,"")</f>
        <v/>
      </c>
      <c r="C16" s="17">
        <f>B16</f>
        <v/>
      </c>
      <c r="D16" s="18" t="inlineStr"/>
    </row>
    <row r="17" ht="16" customHeight="1">
      <c r="A17" s="15" t="inlineStr">
        <is>
          <t>Factor 3</t>
        </is>
      </c>
      <c r="B17" s="16">
        <f>IFERROR(DATA!E$4,"")</f>
        <v/>
      </c>
      <c r="C17" s="17">
        <f>B17</f>
        <v/>
      </c>
      <c r="D17" s="18" t="inlineStr"/>
    </row>
    <row r="18" ht="16" customHeight="1">
      <c r="A18" s="15" t="inlineStr">
        <is>
          <t>Factor 4</t>
        </is>
      </c>
      <c r="B18" s="16">
        <f>IFERROR(DATA!F$4,"")</f>
        <v/>
      </c>
      <c r="C18" s="17">
        <f>B18</f>
        <v/>
      </c>
      <c r="D18" s="18" t="inlineStr"/>
    </row>
    <row r="19" ht="16" customHeight="1">
      <c r="A19" s="15" t="inlineStr">
        <is>
          <t>Factor 5</t>
        </is>
      </c>
      <c r="B19" s="16">
        <f>IFERROR(DATA!G$4,"")</f>
        <v/>
      </c>
      <c r="C19" s="17">
        <f>B19</f>
        <v/>
      </c>
      <c r="D19" s="18" t="inlineStr"/>
    </row>
    <row r="20" ht="16" customHeight="1">
      <c r="A20" s="15" t="inlineStr">
        <is>
          <t>Factor 6</t>
        </is>
      </c>
      <c r="B20" s="16">
        <f>IFERROR(DATA!H$4,"")</f>
        <v/>
      </c>
      <c r="C20" s="17">
        <f>B20</f>
        <v/>
      </c>
      <c r="D20" s="18" t="inlineStr"/>
    </row>
    <row r="21" ht="16" customHeight="1">
      <c r="A21" s="15" t="inlineStr">
        <is>
          <t>Factor 7</t>
        </is>
      </c>
      <c r="B21" s="16">
        <f>IFERROR(DATA!I$4,"")</f>
        <v/>
      </c>
      <c r="C21" s="17">
        <f>B21</f>
        <v/>
      </c>
      <c r="D21" s="18" t="inlineStr"/>
    </row>
    <row r="22" ht="16" customHeight="1">
      <c r="A22" s="15" t="inlineStr">
        <is>
          <t>Factor 8</t>
        </is>
      </c>
      <c r="B22" s="16">
        <f>IFERROR(DATA!J$4,"")</f>
        <v/>
      </c>
      <c r="C22" s="17">
        <f>B22</f>
        <v/>
      </c>
      <c r="D22" s="18" t="inlineStr"/>
    </row>
    <row r="23" ht="16" customHeight="1">
      <c r="A23" s="15" t="inlineStr">
        <is>
          <t>Factor 9</t>
        </is>
      </c>
      <c r="B23" s="16">
        <f>IFERROR(DATA!K$4,"")</f>
        <v/>
      </c>
      <c r="C23" s="17">
        <f>B23</f>
        <v/>
      </c>
      <c r="D23" s="18" t="inlineStr"/>
    </row>
    <row r="24" ht="16" customHeight="1">
      <c r="A24" s="15" t="inlineStr">
        <is>
          <t>Factor 10</t>
        </is>
      </c>
      <c r="B24" s="16">
        <f>IFERROR(DATA!L$4,"")</f>
        <v/>
      </c>
      <c r="C24" s="17">
        <f>B24</f>
        <v/>
      </c>
      <c r="D24" s="18" t="inlineStr"/>
    </row>
    <row r="26" ht="20" customHeight="1">
      <c r="A26" s="11" t="inlineStr">
        <is>
          <t>C.  PRINCIPAL COMPONENT LABELS  (rename your PCs here)</t>
        </is>
      </c>
    </row>
    <row r="27" ht="18" customHeight="1">
      <c r="A27" s="12" t="inlineStr">
        <is>
          <t>PC #</t>
        </is>
      </c>
      <c r="B27" s="12" t="inlineStr">
        <is>
          <t>Default Name</t>
        </is>
      </c>
      <c r="C27" s="12" t="inlineStr">
        <is>
          <t>Custom Label</t>
        </is>
      </c>
      <c r="D27" s="12" t="inlineStr">
        <is>
          <t>Economic Interpretation</t>
        </is>
      </c>
      <c r="E27" s="12" t="inlineStr">
        <is>
          <t>Include in PCA Reg?</t>
        </is>
      </c>
    </row>
    <row r="28" ht="16" customHeight="1">
      <c r="A28" s="15" t="inlineStr">
        <is>
          <t>PC1</t>
        </is>
      </c>
      <c r="B28" s="16" t="inlineStr">
        <is>
          <t>PC1</t>
        </is>
      </c>
      <c r="C28" s="17" t="inlineStr">
        <is>
          <t>PC1</t>
        </is>
      </c>
      <c r="D28" s="18" t="inlineStr"/>
      <c r="E28" s="17" t="inlineStr">
        <is>
          <t>Yes</t>
        </is>
      </c>
    </row>
    <row r="29" ht="16" customHeight="1">
      <c r="A29" s="15" t="inlineStr">
        <is>
          <t>PC2</t>
        </is>
      </c>
      <c r="B29" s="16" t="inlineStr">
        <is>
          <t>PC2</t>
        </is>
      </c>
      <c r="C29" s="17" t="inlineStr">
        <is>
          <t>PC2</t>
        </is>
      </c>
      <c r="D29" s="18" t="inlineStr"/>
      <c r="E29" s="17" t="inlineStr">
        <is>
          <t>Yes</t>
        </is>
      </c>
    </row>
    <row r="30" ht="16" customHeight="1">
      <c r="A30" s="15" t="inlineStr">
        <is>
          <t>PC3</t>
        </is>
      </c>
      <c r="B30" s="16" t="inlineStr">
        <is>
          <t>PC3</t>
        </is>
      </c>
      <c r="C30" s="17" t="inlineStr">
        <is>
          <t>PC3</t>
        </is>
      </c>
      <c r="D30" s="18" t="inlineStr"/>
      <c r="E30" s="17" t="inlineStr">
        <is>
          <t>Yes</t>
        </is>
      </c>
    </row>
    <row r="31" ht="16" customHeight="1">
      <c r="A31" s="15" t="inlineStr">
        <is>
          <t>PC4</t>
        </is>
      </c>
      <c r="B31" s="16" t="inlineStr">
        <is>
          <t>PC4</t>
        </is>
      </c>
      <c r="C31" s="17" t="inlineStr">
        <is>
          <t>PC4</t>
        </is>
      </c>
      <c r="D31" s="18" t="inlineStr"/>
      <c r="E31" s="17" t="inlineStr">
        <is>
          <t>Yes</t>
        </is>
      </c>
    </row>
    <row r="32" ht="16" customHeight="1">
      <c r="A32" s="15" t="inlineStr">
        <is>
          <t>PC5</t>
        </is>
      </c>
      <c r="B32" s="16" t="inlineStr">
        <is>
          <t>PC5</t>
        </is>
      </c>
      <c r="C32" s="17" t="inlineStr">
        <is>
          <t>PC5</t>
        </is>
      </c>
      <c r="D32" s="18" t="inlineStr"/>
      <c r="E32" s="17" t="inlineStr">
        <is>
          <t>Yes</t>
        </is>
      </c>
    </row>
    <row r="33" ht="16" customHeight="1">
      <c r="A33" s="15" t="inlineStr">
        <is>
          <t>PC6</t>
        </is>
      </c>
      <c r="B33" s="16" t="inlineStr">
        <is>
          <t>PC6</t>
        </is>
      </c>
      <c r="C33" s="17" t="inlineStr">
        <is>
          <t>PC6</t>
        </is>
      </c>
      <c r="D33" s="18" t="inlineStr"/>
      <c r="E33" s="17" t="inlineStr">
        <is>
          <t>No</t>
        </is>
      </c>
    </row>
    <row r="34" ht="16" customHeight="1">
      <c r="A34" s="15" t="inlineStr">
        <is>
          <t>PC7</t>
        </is>
      </c>
      <c r="B34" s="16" t="inlineStr">
        <is>
          <t>PC7</t>
        </is>
      </c>
      <c r="C34" s="17" t="inlineStr">
        <is>
          <t>PC7</t>
        </is>
      </c>
      <c r="D34" s="18" t="inlineStr"/>
      <c r="E34" s="17" t="inlineStr">
        <is>
          <t>No</t>
        </is>
      </c>
    </row>
    <row r="35" ht="16" customHeight="1">
      <c r="A35" s="15" t="inlineStr">
        <is>
          <t>PC8</t>
        </is>
      </c>
      <c r="B35" s="16" t="inlineStr">
        <is>
          <t>PC8</t>
        </is>
      </c>
      <c r="C35" s="17" t="inlineStr">
        <is>
          <t>PC8</t>
        </is>
      </c>
      <c r="D35" s="18" t="inlineStr"/>
      <c r="E35" s="17" t="inlineStr">
        <is>
          <t>No</t>
        </is>
      </c>
    </row>
    <row r="36" ht="16" customHeight="1">
      <c r="A36" s="15" t="inlineStr">
        <is>
          <t>PC9</t>
        </is>
      </c>
      <c r="B36" s="16" t="inlineStr">
        <is>
          <t>PC9</t>
        </is>
      </c>
      <c r="C36" s="17" t="inlineStr">
        <is>
          <t>PC9</t>
        </is>
      </c>
      <c r="D36" s="18" t="inlineStr"/>
      <c r="E36" s="17" t="inlineStr">
        <is>
          <t>No</t>
        </is>
      </c>
    </row>
    <row r="37" ht="16" customHeight="1">
      <c r="A37" s="15" t="inlineStr">
        <is>
          <t>PC10</t>
        </is>
      </c>
      <c r="B37" s="16" t="inlineStr">
        <is>
          <t>PC10</t>
        </is>
      </c>
      <c r="C37" s="17" t="inlineStr">
        <is>
          <t>PC10</t>
        </is>
      </c>
      <c r="D37" s="18" t="inlineStr"/>
      <c r="E37" s="17" t="inlineStr">
        <is>
          <t>No</t>
        </is>
      </c>
    </row>
    <row r="39" ht="16" customHeight="1">
      <c r="A39" s="19" t="inlineStr">
        <is>
          <t>Yellow cells = user-editable</t>
        </is>
      </c>
      <c r="C39" s="20" t="n"/>
    </row>
  </sheetData>
  <mergeCells count="5">
    <mergeCell ref="A13:F13"/>
    <mergeCell ref="A1:F1"/>
    <mergeCell ref="A26:F26"/>
    <mergeCell ref="A3:F3"/>
    <mergeCell ref="A39:B39"/>
  </mergeCells>
  <dataValidations count="3">
    <dataValidation sqref="B7" showDropDown="0" showInputMessage="0" showErrorMessage="0" allowBlank="0" type="list">
      <formula1>"Correlation,Covariance"</formula1>
    </dataValidation>
    <dataValidation sqref="B9" showDropDown="0" showInputMessage="0" showErrorMessage="0" allowBlank="0" type="list">
      <formula1>"Yes,No"</formula1>
    </dataValidation>
    <dataValidation sqref="E28:E3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N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PRINCIPAL COMPONENT ANALYSIS OUTPUT</t>
        </is>
      </c>
    </row>
    <row r="2" ht="22" customHeight="1">
      <c r="A2" s="2" t="inlineStr">
        <is>
          <t>Click RUN PCA (button below) or press Ctrl+Shift+P to execute. All tables are populated by VBA — do not edit directly.</t>
        </is>
      </c>
    </row>
    <row r="4" ht="20" customHeight="1">
      <c r="A4" s="11" t="inlineStr">
        <is>
          <t>1.  SUMMARY STATISTICS</t>
        </is>
      </c>
    </row>
    <row r="5" ht="18" customHeight="1">
      <c r="A5" s="12" t="inlineStr">
        <is>
          <t>Factor</t>
        </is>
      </c>
      <c r="B5" s="12" t="inlineStr">
        <is>
          <t>N</t>
        </is>
      </c>
      <c r="C5" s="12" t="inlineStr">
        <is>
          <t>Mean</t>
        </is>
      </c>
      <c r="D5" s="12" t="inlineStr">
        <is>
          <t>Std Dev</t>
        </is>
      </c>
      <c r="E5" s="12" t="inlineStr">
        <is>
          <t>Min</t>
        </is>
      </c>
      <c r="F5" s="12" t="inlineStr">
        <is>
          <t>Max</t>
        </is>
      </c>
    </row>
    <row r="6" ht="15" customHeight="1">
      <c r="A6" s="21">
        <f>IFERROR(CONFIG!C15,"")</f>
        <v/>
      </c>
      <c r="B6" s="22" t="n"/>
      <c r="C6" s="22" t="n"/>
      <c r="D6" s="22" t="n"/>
      <c r="E6" s="22" t="n"/>
      <c r="F6" s="22" t="n"/>
    </row>
    <row r="7" ht="15" customHeight="1">
      <c r="A7" s="21">
        <f>IFERROR(CONFIG!C16,"")</f>
        <v/>
      </c>
      <c r="B7" s="23" t="n"/>
      <c r="C7" s="23" t="n"/>
      <c r="D7" s="23" t="n"/>
      <c r="E7" s="23" t="n"/>
      <c r="F7" s="23" t="n"/>
    </row>
    <row r="8" ht="15" customHeight="1">
      <c r="A8" s="21">
        <f>IFERROR(CONFIG!C17,"")</f>
        <v/>
      </c>
      <c r="B8" s="22" t="n"/>
      <c r="C8" s="22" t="n"/>
      <c r="D8" s="22" t="n"/>
      <c r="E8" s="22" t="n"/>
      <c r="F8" s="22" t="n"/>
    </row>
    <row r="9" ht="15" customHeight="1">
      <c r="A9" s="21">
        <f>IFERROR(CONFIG!C18,"")</f>
        <v/>
      </c>
      <c r="B9" s="23" t="n"/>
      <c r="C9" s="23" t="n"/>
      <c r="D9" s="23" t="n"/>
      <c r="E9" s="23" t="n"/>
      <c r="F9" s="23" t="n"/>
    </row>
    <row r="10" ht="15" customHeight="1">
      <c r="A10" s="21">
        <f>IFERROR(CONFIG!C19,"")</f>
        <v/>
      </c>
      <c r="B10" s="22" t="n"/>
      <c r="C10" s="22" t="n"/>
      <c r="D10" s="22" t="n"/>
      <c r="E10" s="22" t="n"/>
      <c r="F10" s="22" t="n"/>
    </row>
    <row r="11" ht="15" customHeight="1">
      <c r="A11" s="21">
        <f>IFERROR(CONFIG!C20,"")</f>
        <v/>
      </c>
      <c r="B11" s="23" t="n"/>
      <c r="C11" s="23" t="n"/>
      <c r="D11" s="23" t="n"/>
      <c r="E11" s="23" t="n"/>
      <c r="F11" s="23" t="n"/>
    </row>
    <row r="12" ht="15" customHeight="1">
      <c r="A12" s="21">
        <f>IFERROR(CONFIG!C21,"")</f>
        <v/>
      </c>
      <c r="B12" s="22" t="n"/>
      <c r="C12" s="22" t="n"/>
      <c r="D12" s="22" t="n"/>
      <c r="E12" s="22" t="n"/>
      <c r="F12" s="22" t="n"/>
    </row>
    <row r="13" ht="15" customHeight="1">
      <c r="A13" s="21">
        <f>IFERROR(CONFIG!C22,"")</f>
        <v/>
      </c>
      <c r="B13" s="23" t="n"/>
      <c r="C13" s="23" t="n"/>
      <c r="D13" s="23" t="n"/>
      <c r="E13" s="23" t="n"/>
      <c r="F13" s="23" t="n"/>
    </row>
    <row r="14" ht="15" customHeight="1">
      <c r="A14" s="21">
        <f>IFERROR(CONFIG!C23,"")</f>
        <v/>
      </c>
      <c r="B14" s="22" t="n"/>
      <c r="C14" s="22" t="n"/>
      <c r="D14" s="22" t="n"/>
      <c r="E14" s="22" t="n"/>
      <c r="F14" s="22" t="n"/>
    </row>
    <row r="15" ht="15" customHeight="1">
      <c r="A15" s="21">
        <f>IFERROR(CONFIG!C24,"")</f>
        <v/>
      </c>
      <c r="B15" s="23" t="n"/>
      <c r="C15" s="23" t="n"/>
      <c r="D15" s="23" t="n"/>
      <c r="E15" s="23" t="n"/>
      <c r="F15" s="23" t="n"/>
    </row>
    <row r="17" ht="20" customHeight="1">
      <c r="A17" s="11" t="inlineStr">
        <is>
          <t>2.  CORRELATION / COVARIANCE MATRIX  (set in CONFIG)</t>
        </is>
      </c>
    </row>
    <row r="18" ht="18" customHeight="1">
      <c r="A18" s="12" t="inlineStr"/>
      <c r="B18" s="12" t="inlineStr">
        <is>
          <t>F1</t>
        </is>
      </c>
      <c r="C18" s="12" t="inlineStr">
        <is>
          <t>F2</t>
        </is>
      </c>
      <c r="D18" s="12" t="inlineStr">
        <is>
          <t>F3</t>
        </is>
      </c>
      <c r="E18" s="12" t="inlineStr">
        <is>
          <t>F4</t>
        </is>
      </c>
      <c r="F18" s="12" t="inlineStr">
        <is>
          <t>F5</t>
        </is>
      </c>
      <c r="G18" s="12" t="inlineStr">
        <is>
          <t>F6</t>
        </is>
      </c>
      <c r="H18" s="12" t="inlineStr">
        <is>
          <t>F7</t>
        </is>
      </c>
      <c r="I18" s="12" t="inlineStr">
        <is>
          <t>F8</t>
        </is>
      </c>
      <c r="J18" s="12" t="inlineStr">
        <is>
          <t>F9</t>
        </is>
      </c>
      <c r="K18" s="12" t="inlineStr">
        <is>
          <t>F10</t>
        </is>
      </c>
    </row>
    <row r="19" ht="15" customHeight="1">
      <c r="A19" s="12" t="inlineStr">
        <is>
          <t>F1</t>
        </is>
      </c>
      <c r="B19" s="24" t="n"/>
      <c r="C19" s="22" t="n"/>
      <c r="D19" s="23" t="n"/>
      <c r="E19" s="22" t="n"/>
      <c r="F19" s="23" t="n"/>
      <c r="G19" s="22" t="n"/>
      <c r="H19" s="23" t="n"/>
      <c r="I19" s="22" t="n"/>
      <c r="J19" s="23" t="n"/>
      <c r="K19" s="22" t="n"/>
    </row>
    <row r="20" ht="15" customHeight="1">
      <c r="A20" s="12" t="inlineStr">
        <is>
          <t>F2</t>
        </is>
      </c>
      <c r="B20" s="22" t="n"/>
      <c r="C20" s="24" t="n"/>
      <c r="D20" s="22" t="n"/>
      <c r="E20" s="23" t="n"/>
      <c r="F20" s="22" t="n"/>
      <c r="G20" s="23" t="n"/>
      <c r="H20" s="22" t="n"/>
      <c r="I20" s="23" t="n"/>
      <c r="J20" s="22" t="n"/>
      <c r="K20" s="23" t="n"/>
    </row>
    <row r="21" ht="15" customHeight="1">
      <c r="A21" s="12" t="inlineStr">
        <is>
          <t>F3</t>
        </is>
      </c>
      <c r="B21" s="23" t="n"/>
      <c r="C21" s="22" t="n"/>
      <c r="D21" s="24" t="n"/>
      <c r="E21" s="22" t="n"/>
      <c r="F21" s="23" t="n"/>
      <c r="G21" s="22" t="n"/>
      <c r="H21" s="23" t="n"/>
      <c r="I21" s="22" t="n"/>
      <c r="J21" s="23" t="n"/>
      <c r="K21" s="22" t="n"/>
    </row>
    <row r="22" ht="15" customHeight="1">
      <c r="A22" s="12" t="inlineStr">
        <is>
          <t>F4</t>
        </is>
      </c>
      <c r="B22" s="22" t="n"/>
      <c r="C22" s="23" t="n"/>
      <c r="D22" s="22" t="n"/>
      <c r="E22" s="24" t="n"/>
      <c r="F22" s="22" t="n"/>
      <c r="G22" s="23" t="n"/>
      <c r="H22" s="22" t="n"/>
      <c r="I22" s="23" t="n"/>
      <c r="J22" s="22" t="n"/>
      <c r="K22" s="23" t="n"/>
    </row>
    <row r="23" ht="15" customHeight="1">
      <c r="A23" s="12" t="inlineStr">
        <is>
          <t>F5</t>
        </is>
      </c>
      <c r="B23" s="23" t="n"/>
      <c r="C23" s="22" t="n"/>
      <c r="D23" s="23" t="n"/>
      <c r="E23" s="22" t="n"/>
      <c r="F23" s="24" t="n"/>
      <c r="G23" s="22" t="n"/>
      <c r="H23" s="23" t="n"/>
      <c r="I23" s="22" t="n"/>
      <c r="J23" s="23" t="n"/>
      <c r="K23" s="22" t="n"/>
    </row>
    <row r="24" ht="15" customHeight="1">
      <c r="A24" s="12" t="inlineStr">
        <is>
          <t>F6</t>
        </is>
      </c>
      <c r="B24" s="22" t="n"/>
      <c r="C24" s="23" t="n"/>
      <c r="D24" s="22" t="n"/>
      <c r="E24" s="23" t="n"/>
      <c r="F24" s="22" t="n"/>
      <c r="G24" s="24" t="n"/>
      <c r="H24" s="22" t="n"/>
      <c r="I24" s="23" t="n"/>
      <c r="J24" s="22" t="n"/>
      <c r="K24" s="23" t="n"/>
    </row>
    <row r="25" ht="15" customHeight="1">
      <c r="A25" s="12" t="inlineStr">
        <is>
          <t>F7</t>
        </is>
      </c>
      <c r="B25" s="23" t="n"/>
      <c r="C25" s="22" t="n"/>
      <c r="D25" s="23" t="n"/>
      <c r="E25" s="22" t="n"/>
      <c r="F25" s="23" t="n"/>
      <c r="G25" s="22" t="n"/>
      <c r="H25" s="24" t="n"/>
      <c r="I25" s="22" t="n"/>
      <c r="J25" s="23" t="n"/>
      <c r="K25" s="22" t="n"/>
    </row>
    <row r="26" ht="15" customHeight="1">
      <c r="A26" s="12" t="inlineStr">
        <is>
          <t>F8</t>
        </is>
      </c>
      <c r="B26" s="22" t="n"/>
      <c r="C26" s="23" t="n"/>
      <c r="D26" s="22" t="n"/>
      <c r="E26" s="23" t="n"/>
      <c r="F26" s="22" t="n"/>
      <c r="G26" s="23" t="n"/>
      <c r="H26" s="22" t="n"/>
      <c r="I26" s="24" t="n"/>
      <c r="J26" s="22" t="n"/>
      <c r="K26" s="23" t="n"/>
    </row>
    <row r="27" ht="15" customHeight="1">
      <c r="A27" s="12" t="inlineStr">
        <is>
          <t>F9</t>
        </is>
      </c>
      <c r="B27" s="23" t="n"/>
      <c r="C27" s="22" t="n"/>
      <c r="D27" s="23" t="n"/>
      <c r="E27" s="22" t="n"/>
      <c r="F27" s="23" t="n"/>
      <c r="G27" s="22" t="n"/>
      <c r="H27" s="23" t="n"/>
      <c r="I27" s="22" t="n"/>
      <c r="J27" s="24" t="n"/>
      <c r="K27" s="22" t="n"/>
    </row>
    <row r="28" ht="15" customHeight="1">
      <c r="A28" s="12" t="inlineStr">
        <is>
          <t>F10</t>
        </is>
      </c>
      <c r="B28" s="22" t="n"/>
      <c r="C28" s="23" t="n"/>
      <c r="D28" s="22" t="n"/>
      <c r="E28" s="23" t="n"/>
      <c r="F28" s="22" t="n"/>
      <c r="G28" s="23" t="n"/>
      <c r="H28" s="22" t="n"/>
      <c r="I28" s="23" t="n"/>
      <c r="J28" s="22" t="n"/>
      <c r="K28" s="24" t="n"/>
    </row>
    <row r="30" ht="20" customHeight="1">
      <c r="A30" s="11" t="inlineStr">
        <is>
          <t>3.  EIGENVALUES  &amp;  VARIANCE EXPLAINED</t>
        </is>
      </c>
    </row>
    <row r="31" ht="18" customHeight="1">
      <c r="A31" s="12" t="inlineStr">
        <is>
          <t>PC</t>
        </is>
      </c>
      <c r="B31" s="12" t="inlineStr">
        <is>
          <t>Eigenvalue</t>
        </is>
      </c>
      <c r="C31" s="12" t="inlineStr">
        <is>
          <t>% Variance</t>
        </is>
      </c>
      <c r="D31" s="12" t="inlineStr">
        <is>
          <t>Cumulative %</t>
        </is>
      </c>
      <c r="E31" s="12" t="inlineStr">
        <is>
          <t>Status</t>
        </is>
      </c>
      <c r="F31" s="12" t="inlineStr">
        <is>
          <t>Label (CONFIG)</t>
        </is>
      </c>
    </row>
    <row r="32" ht="15" customHeight="1">
      <c r="A32" s="21">
        <f>IFERROR(CONFIG!C28,"")</f>
        <v/>
      </c>
      <c r="B32" s="22" t="n"/>
      <c r="C32" s="25" t="n"/>
      <c r="D32" s="25" t="n"/>
      <c r="E32" s="26" t="inlineStr"/>
      <c r="F32" s="27">
        <f>IFERROR(CONFIG!D28,"")</f>
        <v/>
      </c>
    </row>
    <row r="33" ht="15" customHeight="1">
      <c r="A33" s="21">
        <f>IFERROR(CONFIG!C29,"")</f>
        <v/>
      </c>
      <c r="B33" s="23" t="n"/>
      <c r="C33" s="28" t="n"/>
      <c r="D33" s="28" t="n"/>
      <c r="E33" s="18" t="inlineStr"/>
      <c r="F33" s="29">
        <f>IFERROR(CONFIG!D29,"")</f>
        <v/>
      </c>
    </row>
    <row r="34" ht="15" customHeight="1">
      <c r="A34" s="21">
        <f>IFERROR(CONFIG!C30,"")</f>
        <v/>
      </c>
      <c r="B34" s="22" t="n"/>
      <c r="C34" s="25" t="n"/>
      <c r="D34" s="25" t="n"/>
      <c r="E34" s="26" t="inlineStr"/>
      <c r="F34" s="27">
        <f>IFERROR(CONFIG!D30,"")</f>
        <v/>
      </c>
    </row>
    <row r="35" ht="15" customHeight="1">
      <c r="A35" s="21">
        <f>IFERROR(CONFIG!C31,"")</f>
        <v/>
      </c>
      <c r="B35" s="23" t="n"/>
      <c r="C35" s="28" t="n"/>
      <c r="D35" s="28" t="n"/>
      <c r="E35" s="18" t="inlineStr"/>
      <c r="F35" s="29">
        <f>IFERROR(CONFIG!D31,"")</f>
        <v/>
      </c>
    </row>
    <row r="36" ht="15" customHeight="1">
      <c r="A36" s="21">
        <f>IFERROR(CONFIG!C32,"")</f>
        <v/>
      </c>
      <c r="B36" s="22" t="n"/>
      <c r="C36" s="25" t="n"/>
      <c r="D36" s="25" t="n"/>
      <c r="E36" s="26" t="inlineStr"/>
      <c r="F36" s="27">
        <f>IFERROR(CONFIG!D32,"")</f>
        <v/>
      </c>
    </row>
    <row r="37" ht="15" customHeight="1">
      <c r="A37" s="21">
        <f>IFERROR(CONFIG!C33,"")</f>
        <v/>
      </c>
      <c r="B37" s="23" t="n"/>
      <c r="C37" s="28" t="n"/>
      <c r="D37" s="28" t="n"/>
      <c r="E37" s="18" t="inlineStr"/>
      <c r="F37" s="29">
        <f>IFERROR(CONFIG!D33,"")</f>
        <v/>
      </c>
    </row>
    <row r="38" ht="15" customHeight="1">
      <c r="A38" s="21">
        <f>IFERROR(CONFIG!C34,"")</f>
        <v/>
      </c>
      <c r="B38" s="22" t="n"/>
      <c r="C38" s="25" t="n"/>
      <c r="D38" s="25" t="n"/>
      <c r="E38" s="26" t="inlineStr"/>
      <c r="F38" s="27">
        <f>IFERROR(CONFIG!D34,"")</f>
        <v/>
      </c>
    </row>
    <row r="39" ht="15" customHeight="1">
      <c r="A39" s="21">
        <f>IFERROR(CONFIG!C35,"")</f>
        <v/>
      </c>
      <c r="B39" s="23" t="n"/>
      <c r="C39" s="28" t="n"/>
      <c r="D39" s="28" t="n"/>
      <c r="E39" s="18" t="inlineStr"/>
      <c r="F39" s="29">
        <f>IFERROR(CONFIG!D35,"")</f>
        <v/>
      </c>
    </row>
    <row r="40" ht="15" customHeight="1">
      <c r="A40" s="21">
        <f>IFERROR(CONFIG!C36,"")</f>
        <v/>
      </c>
      <c r="B40" s="22" t="n"/>
      <c r="C40" s="25" t="n"/>
      <c r="D40" s="25" t="n"/>
      <c r="E40" s="26" t="inlineStr"/>
      <c r="F40" s="27">
        <f>IFERROR(CONFIG!D36,"")</f>
        <v/>
      </c>
    </row>
    <row r="41" ht="15" customHeight="1">
      <c r="A41" s="21">
        <f>IFERROR(CONFIG!C37,"")</f>
        <v/>
      </c>
      <c r="B41" s="23" t="n"/>
      <c r="C41" s="28" t="n"/>
      <c r="D41" s="28" t="n"/>
      <c r="E41" s="18" t="inlineStr"/>
      <c r="F41" s="29">
        <f>IFERROR(CONFIG!D37,"")</f>
        <v/>
      </c>
    </row>
    <row r="43" ht="20" customHeight="1">
      <c r="A43" s="11" t="inlineStr">
        <is>
          <t>4.  FACTOR LOADINGS  (eigenvectors × √eigenvalue)</t>
        </is>
      </c>
    </row>
    <row r="44" ht="18" customHeight="1">
      <c r="A44" s="12" t="inlineStr">
        <is>
          <t>Factor \ PC</t>
        </is>
      </c>
      <c r="B44" s="12">
        <f>IFERROR(CONFIG!C28,"PC1")</f>
        <v/>
      </c>
      <c r="C44" s="12">
        <f>IFERROR(CONFIG!C29,"PC2")</f>
        <v/>
      </c>
      <c r="D44" s="12">
        <f>IFERROR(CONFIG!C30,"PC3")</f>
        <v/>
      </c>
      <c r="E44" s="12">
        <f>IFERROR(CONFIG!C31,"PC4")</f>
        <v/>
      </c>
      <c r="F44" s="12">
        <f>IFERROR(CONFIG!C32,"PC5")</f>
        <v/>
      </c>
      <c r="G44" s="12">
        <f>IFERROR(CONFIG!C33,"PC6")</f>
        <v/>
      </c>
      <c r="H44" s="12">
        <f>IFERROR(CONFIG!C34,"PC7")</f>
        <v/>
      </c>
      <c r="I44" s="12">
        <f>IFERROR(CONFIG!C35,"PC8")</f>
        <v/>
      </c>
      <c r="J44" s="12">
        <f>IFERROR(CONFIG!C36,"PC9")</f>
        <v/>
      </c>
      <c r="K44" s="12">
        <f>IFERROR(CONFIG!C37,"PC10")</f>
        <v/>
      </c>
    </row>
    <row r="45" ht="15" customHeight="1">
      <c r="A45" s="21">
        <f>IFERROR(CONFIG!C15,"")</f>
        <v/>
      </c>
      <c r="B45" s="23" t="n"/>
      <c r="C45" s="22" t="n"/>
      <c r="D45" s="23" t="n"/>
      <c r="E45" s="22" t="n"/>
      <c r="F45" s="23" t="n"/>
      <c r="G45" s="22" t="n"/>
      <c r="H45" s="23" t="n"/>
      <c r="I45" s="22" t="n"/>
      <c r="J45" s="23" t="n"/>
      <c r="K45" s="22" t="n"/>
    </row>
    <row r="46" ht="15" customHeight="1">
      <c r="A46" s="21">
        <f>IFERROR(CONFIG!C16,"")</f>
        <v/>
      </c>
      <c r="B46" s="22" t="n"/>
      <c r="C46" s="23" t="n"/>
      <c r="D46" s="22" t="n"/>
      <c r="E46" s="23" t="n"/>
      <c r="F46" s="22" t="n"/>
      <c r="G46" s="23" t="n"/>
      <c r="H46" s="22" t="n"/>
      <c r="I46" s="23" t="n"/>
      <c r="J46" s="22" t="n"/>
      <c r="K46" s="23" t="n"/>
    </row>
    <row r="47" ht="15" customHeight="1">
      <c r="A47" s="21">
        <f>IFERROR(CONFIG!C17,"")</f>
        <v/>
      </c>
      <c r="B47" s="23" t="n"/>
      <c r="C47" s="22" t="n"/>
      <c r="D47" s="23" t="n"/>
      <c r="E47" s="22" t="n"/>
      <c r="F47" s="23" t="n"/>
      <c r="G47" s="22" t="n"/>
      <c r="H47" s="23" t="n"/>
      <c r="I47" s="22" t="n"/>
      <c r="J47" s="23" t="n"/>
      <c r="K47" s="22" t="n"/>
    </row>
    <row r="48" ht="15" customHeight="1">
      <c r="A48" s="21">
        <f>IFERROR(CONFIG!C18,"")</f>
        <v/>
      </c>
      <c r="B48" s="22" t="n"/>
      <c r="C48" s="23" t="n"/>
      <c r="D48" s="22" t="n"/>
      <c r="E48" s="23" t="n"/>
      <c r="F48" s="22" t="n"/>
      <c r="G48" s="23" t="n"/>
      <c r="H48" s="22" t="n"/>
      <c r="I48" s="23" t="n"/>
      <c r="J48" s="22" t="n"/>
      <c r="K48" s="23" t="n"/>
    </row>
    <row r="49" ht="15" customHeight="1">
      <c r="A49" s="21">
        <f>IFERROR(CONFIG!C19,"")</f>
        <v/>
      </c>
      <c r="B49" s="23" t="n"/>
      <c r="C49" s="22" t="n"/>
      <c r="D49" s="23" t="n"/>
      <c r="E49" s="22" t="n"/>
      <c r="F49" s="23" t="n"/>
      <c r="G49" s="22" t="n"/>
      <c r="H49" s="23" t="n"/>
      <c r="I49" s="22" t="n"/>
      <c r="J49" s="23" t="n"/>
      <c r="K49" s="22" t="n"/>
    </row>
    <row r="50" ht="15" customHeight="1">
      <c r="A50" s="21">
        <f>IFERROR(CONFIG!C20,"")</f>
        <v/>
      </c>
      <c r="B50" s="22" t="n"/>
      <c r="C50" s="23" t="n"/>
      <c r="D50" s="22" t="n"/>
      <c r="E50" s="23" t="n"/>
      <c r="F50" s="22" t="n"/>
      <c r="G50" s="23" t="n"/>
      <c r="H50" s="22" t="n"/>
      <c r="I50" s="23" t="n"/>
      <c r="J50" s="22" t="n"/>
      <c r="K50" s="23" t="n"/>
    </row>
    <row r="51" ht="15" customHeight="1">
      <c r="A51" s="21">
        <f>IFERROR(CONFIG!C21,"")</f>
        <v/>
      </c>
      <c r="B51" s="23" t="n"/>
      <c r="C51" s="22" t="n"/>
      <c r="D51" s="23" t="n"/>
      <c r="E51" s="22" t="n"/>
      <c r="F51" s="23" t="n"/>
      <c r="G51" s="22" t="n"/>
      <c r="H51" s="23" t="n"/>
      <c r="I51" s="22" t="n"/>
      <c r="J51" s="23" t="n"/>
      <c r="K51" s="22" t="n"/>
    </row>
    <row r="52" ht="15" customHeight="1">
      <c r="A52" s="21">
        <f>IFERROR(CONFIG!C22,"")</f>
        <v/>
      </c>
      <c r="B52" s="22" t="n"/>
      <c r="C52" s="23" t="n"/>
      <c r="D52" s="22" t="n"/>
      <c r="E52" s="23" t="n"/>
      <c r="F52" s="22" t="n"/>
      <c r="G52" s="23" t="n"/>
      <c r="H52" s="22" t="n"/>
      <c r="I52" s="23" t="n"/>
      <c r="J52" s="22" t="n"/>
      <c r="K52" s="23" t="n"/>
    </row>
    <row r="53" ht="15" customHeight="1">
      <c r="A53" s="21">
        <f>IFERROR(CONFIG!C23,"")</f>
        <v/>
      </c>
      <c r="B53" s="23" t="n"/>
      <c r="C53" s="22" t="n"/>
      <c r="D53" s="23" t="n"/>
      <c r="E53" s="22" t="n"/>
      <c r="F53" s="23" t="n"/>
      <c r="G53" s="22" t="n"/>
      <c r="H53" s="23" t="n"/>
      <c r="I53" s="22" t="n"/>
      <c r="J53" s="23" t="n"/>
      <c r="K53" s="22" t="n"/>
    </row>
    <row r="54" ht="15" customHeight="1">
      <c r="A54" s="21">
        <f>IFERROR(CONFIG!C24,"")</f>
        <v/>
      </c>
      <c r="B54" s="22" t="n"/>
      <c r="C54" s="23" t="n"/>
      <c r="D54" s="22" t="n"/>
      <c r="E54" s="23" t="n"/>
      <c r="F54" s="22" t="n"/>
      <c r="G54" s="23" t="n"/>
      <c r="H54" s="22" t="n"/>
      <c r="I54" s="23" t="n"/>
      <c r="J54" s="22" t="n"/>
      <c r="K54" s="23" t="n"/>
    </row>
    <row r="56" ht="20" customHeight="1">
      <c r="A56" s="11" t="inlineStr">
        <is>
          <t>5.  PC SCORES  (time series)  — populated by RUN PCA</t>
        </is>
      </c>
    </row>
    <row r="57" ht="18" customHeight="1">
      <c r="A57" s="30" t="inlineStr">
        <is>
          <t>Date</t>
        </is>
      </c>
      <c r="B57" s="30">
        <f>IFERROR(CONFIG!C28,"PC1")</f>
        <v/>
      </c>
      <c r="C57" s="30">
        <f>IFERROR(CONFIG!C29,"PC2")</f>
        <v/>
      </c>
      <c r="D57" s="30">
        <f>IFERROR(CONFIG!C30,"PC3")</f>
        <v/>
      </c>
      <c r="E57" s="30">
        <f>IFERROR(CONFIG!C31,"PC4")</f>
        <v/>
      </c>
      <c r="F57" s="30">
        <f>IFERROR(CONFIG!C32,"PC5")</f>
        <v/>
      </c>
      <c r="G57" s="30">
        <f>IFERROR(CONFIG!C33,"PC6")</f>
        <v/>
      </c>
      <c r="H57" s="30">
        <f>IFERROR(CONFIG!C34,"PC7")</f>
        <v/>
      </c>
      <c r="I57" s="30">
        <f>IFERROR(CONFIG!C35,"PC8")</f>
        <v/>
      </c>
      <c r="J57" s="30">
        <f>IFERROR(CONFIG!C36,"PC9")</f>
        <v/>
      </c>
      <c r="K57" s="30">
        <f>IFERROR(CONFIG!C37,"PC10")</f>
        <v/>
      </c>
    </row>
  </sheetData>
  <mergeCells count="7">
    <mergeCell ref="A56:N56"/>
    <mergeCell ref="A2:N2"/>
    <mergeCell ref="A43:N43"/>
    <mergeCell ref="A4:F4"/>
    <mergeCell ref="A30:F30"/>
    <mergeCell ref="A17:K17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OLS REGRESSION  —  Dependent Variable on Original Factors</t>
        </is>
      </c>
    </row>
    <row r="2" ht="22" customHeight="1">
      <c r="A2" s="2" t="inlineStr">
        <is>
          <t>Click RUN REGRESSION or press Ctrl+Shift+R. All cells populated by VBA.</t>
        </is>
      </c>
    </row>
    <row r="4" ht="20" customHeight="1">
      <c r="A4" s="11" t="inlineStr">
        <is>
          <t>1.  MODEL SUMMARY</t>
        </is>
      </c>
    </row>
    <row r="5" ht="16" customHeight="1">
      <c r="A5" s="12" t="inlineStr">
        <is>
          <t>Dependent Variable</t>
        </is>
      </c>
      <c r="B5" s="31" t="n"/>
    </row>
    <row r="6" ht="16" customHeight="1">
      <c r="A6" s="12" t="inlineStr">
        <is>
          <t>N (Observations)</t>
        </is>
      </c>
      <c r="B6" s="31" t="n"/>
    </row>
    <row r="7" ht="16" customHeight="1">
      <c r="A7" s="12" t="inlineStr">
        <is>
          <t>R-Squared</t>
        </is>
      </c>
      <c r="B7" s="31" t="n"/>
    </row>
    <row r="8" ht="16" customHeight="1">
      <c r="A8" s="12" t="inlineStr">
        <is>
          <t>Adjusted R-Squared</t>
        </is>
      </c>
      <c r="B8" s="31" t="n"/>
    </row>
    <row r="9" ht="16" customHeight="1">
      <c r="A9" s="12" t="inlineStr">
        <is>
          <t>F-Statistic</t>
        </is>
      </c>
      <c r="B9" s="31" t="n"/>
    </row>
    <row r="10" ht="16" customHeight="1">
      <c r="A10" s="12" t="inlineStr">
        <is>
          <t>Prob (F-Stat)</t>
        </is>
      </c>
      <c r="B10" s="31" t="n"/>
    </row>
    <row r="11" ht="16" customHeight="1">
      <c r="A11" s="12" t="inlineStr">
        <is>
          <t>AIC</t>
        </is>
      </c>
      <c r="B11" s="31" t="n"/>
    </row>
    <row r="12" ht="16" customHeight="1">
      <c r="A12" s="12" t="inlineStr">
        <is>
          <t>BIC</t>
        </is>
      </c>
      <c r="B12" s="31" t="n"/>
    </row>
    <row r="14" ht="20" customHeight="1">
      <c r="A14" s="11" t="inlineStr">
        <is>
          <t>2.  ANOVA TABLE</t>
        </is>
      </c>
    </row>
    <row r="15" ht="18" customHeight="1">
      <c r="A15" s="12" t="inlineStr">
        <is>
          <t>Source</t>
        </is>
      </c>
      <c r="B15" s="12" t="inlineStr">
        <is>
          <t>SS</t>
        </is>
      </c>
      <c r="C15" s="12" t="inlineStr">
        <is>
          <t>df</t>
        </is>
      </c>
      <c r="D15" s="12" t="inlineStr">
        <is>
          <t>MS</t>
        </is>
      </c>
      <c r="E15" s="12" t="inlineStr">
        <is>
          <t>F</t>
        </is>
      </c>
      <c r="F15" s="12" t="inlineStr">
        <is>
          <t>Prob(F)</t>
        </is>
      </c>
    </row>
    <row r="16" ht="15" customHeight="1">
      <c r="A16" s="32" t="inlineStr">
        <is>
          <t>Regression</t>
        </is>
      </c>
      <c r="B16" s="22" t="n"/>
      <c r="C16" s="22" t="n"/>
      <c r="D16" s="22" t="n"/>
      <c r="E16" s="22" t="n"/>
      <c r="F16" s="22" t="n"/>
    </row>
    <row r="17" ht="15" customHeight="1">
      <c r="A17" s="32" t="inlineStr">
        <is>
          <t>Residual</t>
        </is>
      </c>
      <c r="B17" s="23" t="n"/>
      <c r="C17" s="23" t="n"/>
      <c r="D17" s="23" t="n"/>
      <c r="E17" s="23" t="n"/>
      <c r="F17" s="23" t="n"/>
    </row>
    <row r="18" ht="15" customHeight="1">
      <c r="A18" s="15" t="inlineStr">
        <is>
          <t>Total</t>
        </is>
      </c>
      <c r="B18" s="22" t="n"/>
      <c r="C18" s="22" t="n"/>
      <c r="D18" s="22" t="n"/>
      <c r="E18" s="22" t="n"/>
      <c r="F18" s="22" t="n"/>
    </row>
    <row r="20" ht="20" customHeight="1">
      <c r="A20" s="11" t="inlineStr">
        <is>
          <t>3.  COEFFICIENTS</t>
        </is>
      </c>
    </row>
    <row r="21" ht="18" customHeight="1">
      <c r="A21" s="12" t="inlineStr">
        <is>
          <t>Variable</t>
        </is>
      </c>
      <c r="B21" s="12" t="inlineStr">
        <is>
          <t>Coefficient</t>
        </is>
      </c>
      <c r="C21" s="12" t="inlineStr">
        <is>
          <t>Std Error</t>
        </is>
      </c>
      <c r="D21" s="12" t="inlineStr">
        <is>
          <t>t-Stat</t>
        </is>
      </c>
      <c r="E21" s="12" t="inlineStr">
        <is>
          <t>p-Value</t>
        </is>
      </c>
      <c r="F21" s="12" t="inlineStr">
        <is>
          <t>CI Lower</t>
        </is>
      </c>
      <c r="G21" s="12" t="inlineStr">
        <is>
          <t>CI Upper</t>
        </is>
      </c>
      <c r="H21" s="12" t="inlineStr">
        <is>
          <t>Significance</t>
        </is>
      </c>
    </row>
    <row r="22" ht="15" customHeight="1">
      <c r="A22" s="21" t="inlineStr">
        <is>
          <t>Intercept</t>
        </is>
      </c>
      <c r="B22" s="23" t="n"/>
      <c r="C22" s="23" t="n"/>
      <c r="D22" s="23" t="n"/>
      <c r="E22" s="23" t="n"/>
      <c r="F22" s="23" t="n"/>
      <c r="G22" s="23" t="n"/>
      <c r="H22" s="23" t="n"/>
    </row>
    <row r="23" ht="15" customHeight="1">
      <c r="A23" s="33">
        <f>IFERROR(CONFIG!C15,"")</f>
        <v/>
      </c>
      <c r="B23" s="22" t="n"/>
      <c r="C23" s="22" t="n"/>
      <c r="D23" s="22" t="n"/>
      <c r="E23" s="22" t="n"/>
      <c r="F23" s="22" t="n"/>
      <c r="G23" s="22" t="n"/>
      <c r="H23" s="22" t="n"/>
    </row>
    <row r="24" ht="15" customHeight="1">
      <c r="A24" s="33">
        <f>IFERROR(CONFIG!C16,"")</f>
        <v/>
      </c>
      <c r="B24" s="23" t="n"/>
      <c r="C24" s="23" t="n"/>
      <c r="D24" s="23" t="n"/>
      <c r="E24" s="23" t="n"/>
      <c r="F24" s="23" t="n"/>
      <c r="G24" s="23" t="n"/>
      <c r="H24" s="23" t="n"/>
    </row>
    <row r="25" ht="15" customHeight="1">
      <c r="A25" s="33">
        <f>IFERROR(CONFIG!C17,"")</f>
        <v/>
      </c>
      <c r="B25" s="22" t="n"/>
      <c r="C25" s="22" t="n"/>
      <c r="D25" s="22" t="n"/>
      <c r="E25" s="22" t="n"/>
      <c r="F25" s="22" t="n"/>
      <c r="G25" s="22" t="n"/>
      <c r="H25" s="22" t="n"/>
    </row>
    <row r="26" ht="15" customHeight="1">
      <c r="A26" s="33">
        <f>IFERROR(CONFIG!C18,"")</f>
        <v/>
      </c>
      <c r="B26" s="23" t="n"/>
      <c r="C26" s="23" t="n"/>
      <c r="D26" s="23" t="n"/>
      <c r="E26" s="23" t="n"/>
      <c r="F26" s="23" t="n"/>
      <c r="G26" s="23" t="n"/>
      <c r="H26" s="23" t="n"/>
    </row>
    <row r="27" ht="15" customHeight="1">
      <c r="A27" s="33">
        <f>IFERROR(CONFIG!C19,"")</f>
        <v/>
      </c>
      <c r="B27" s="22" t="n"/>
      <c r="C27" s="22" t="n"/>
      <c r="D27" s="22" t="n"/>
      <c r="E27" s="22" t="n"/>
      <c r="F27" s="22" t="n"/>
      <c r="G27" s="22" t="n"/>
      <c r="H27" s="22" t="n"/>
    </row>
    <row r="28" ht="15" customHeight="1">
      <c r="A28" s="33">
        <f>IFERROR(CONFIG!C20,"")</f>
        <v/>
      </c>
      <c r="B28" s="23" t="n"/>
      <c r="C28" s="23" t="n"/>
      <c r="D28" s="23" t="n"/>
      <c r="E28" s="23" t="n"/>
      <c r="F28" s="23" t="n"/>
      <c r="G28" s="23" t="n"/>
      <c r="H28" s="23" t="n"/>
    </row>
    <row r="29" ht="15" customHeight="1">
      <c r="A29" s="33">
        <f>IFERROR(CONFIG!C21,"")</f>
        <v/>
      </c>
      <c r="B29" s="22" t="n"/>
      <c r="C29" s="22" t="n"/>
      <c r="D29" s="22" t="n"/>
      <c r="E29" s="22" t="n"/>
      <c r="F29" s="22" t="n"/>
      <c r="G29" s="22" t="n"/>
      <c r="H29" s="22" t="n"/>
    </row>
    <row r="30" ht="15" customHeight="1">
      <c r="A30" s="33">
        <f>IFERROR(CONFIG!C22,"")</f>
        <v/>
      </c>
      <c r="B30" s="23" t="n"/>
      <c r="C30" s="23" t="n"/>
      <c r="D30" s="23" t="n"/>
      <c r="E30" s="23" t="n"/>
      <c r="F30" s="23" t="n"/>
      <c r="G30" s="23" t="n"/>
      <c r="H30" s="23" t="n"/>
    </row>
    <row r="31" ht="15" customHeight="1">
      <c r="A31" s="33">
        <f>IFERROR(CONFIG!C23,"")</f>
        <v/>
      </c>
      <c r="B31" s="22" t="n"/>
      <c r="C31" s="22" t="n"/>
      <c r="D31" s="22" t="n"/>
      <c r="E31" s="22" t="n"/>
      <c r="F31" s="22" t="n"/>
      <c r="G31" s="22" t="n"/>
      <c r="H31" s="22" t="n"/>
    </row>
    <row r="32" ht="15" customHeight="1">
      <c r="A32" s="33">
        <f>IFERROR(CONFIG!C24,"")</f>
        <v/>
      </c>
      <c r="B32" s="23" t="n"/>
      <c r="C32" s="23" t="n"/>
      <c r="D32" s="23" t="n"/>
      <c r="E32" s="23" t="n"/>
      <c r="F32" s="23" t="n"/>
      <c r="G32" s="23" t="n"/>
      <c r="H32" s="23" t="n"/>
    </row>
    <row r="33" ht="15" customHeight="1">
      <c r="A33" s="33">
        <f>IFERROR(CONFIG!C25,"")</f>
        <v/>
      </c>
      <c r="B33" s="22" t="n"/>
      <c r="C33" s="22" t="n"/>
      <c r="D33" s="22" t="n"/>
      <c r="E33" s="22" t="n"/>
      <c r="F33" s="22" t="n"/>
      <c r="G33" s="22" t="n"/>
      <c r="H33" s="22" t="n"/>
    </row>
    <row r="35" ht="20" customHeight="1">
      <c r="A35" s="11" t="inlineStr">
        <is>
          <t>4.  RESIDUALS  (populated by VBA)</t>
        </is>
      </c>
    </row>
    <row r="36" ht="18" customHeight="1">
      <c r="A36" s="30" t="inlineStr">
        <is>
          <t>Date</t>
        </is>
      </c>
      <c r="B36" s="30" t="inlineStr">
        <is>
          <t>Actual</t>
        </is>
      </c>
      <c r="C36" s="30" t="inlineStr">
        <is>
          <t>Fitted</t>
        </is>
      </c>
      <c r="D36" s="30" t="inlineStr">
        <is>
          <t>Residual</t>
        </is>
      </c>
      <c r="E36" s="30" t="inlineStr">
        <is>
          <t>Std Residual</t>
        </is>
      </c>
    </row>
  </sheetData>
  <mergeCells count="6">
    <mergeCell ref="A4:H4"/>
    <mergeCell ref="A35:H35"/>
    <mergeCell ref="A20:H20"/>
    <mergeCell ref="A2:H2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PCA REGRESSION  —  Dependent Variable on Principal Components</t>
        </is>
      </c>
    </row>
    <row r="2" ht="22" customHeight="1">
      <c r="A2" s="2" t="inlineStr">
        <is>
          <t>Click RUN PCA REGRESSION or Ctrl+Shift+Q. PCs used are controlled by CONFIG Section C column E.</t>
        </is>
      </c>
    </row>
    <row r="4" ht="20" customHeight="1">
      <c r="A4" s="11" t="inlineStr">
        <is>
          <t>1.  PC REGRESSION MODEL SUMMARY</t>
        </is>
      </c>
    </row>
    <row r="5" ht="16" customHeight="1">
      <c r="A5" s="12" t="inlineStr">
        <is>
          <t>Dependent Variable</t>
        </is>
      </c>
      <c r="B5" s="34" t="n"/>
    </row>
    <row r="6" ht="16" customHeight="1">
      <c r="A6" s="12" t="inlineStr">
        <is>
          <t>PCs Included</t>
        </is>
      </c>
      <c r="B6" s="34" t="n"/>
    </row>
    <row r="7" ht="16" customHeight="1">
      <c r="A7" s="12" t="inlineStr">
        <is>
          <t>N</t>
        </is>
      </c>
      <c r="B7" s="34" t="n"/>
    </row>
    <row r="8" ht="16" customHeight="1">
      <c r="A8" s="12" t="inlineStr">
        <is>
          <t>R-Squared</t>
        </is>
      </c>
      <c r="B8" s="34" t="n"/>
    </row>
    <row r="9" ht="16" customHeight="1">
      <c r="A9" s="12" t="inlineStr">
        <is>
          <t>Adjusted R-Squared</t>
        </is>
      </c>
      <c r="B9" s="34" t="n"/>
    </row>
    <row r="10" ht="16" customHeight="1">
      <c r="A10" s="12" t="inlineStr">
        <is>
          <t>F-Statistic</t>
        </is>
      </c>
      <c r="B10" s="34" t="n"/>
    </row>
    <row r="11" ht="16" customHeight="1">
      <c r="A11" s="12" t="inlineStr">
        <is>
          <t>Prob (F-Stat)</t>
        </is>
      </c>
      <c r="B11" s="34" t="n"/>
    </row>
    <row r="13" ht="20" customHeight="1">
      <c r="A13" s="11" t="inlineStr">
        <is>
          <t>2.  PC COEFFICIENTS</t>
        </is>
      </c>
    </row>
    <row r="14" ht="18" customHeight="1">
      <c r="A14" s="12" t="inlineStr">
        <is>
          <t>PC</t>
        </is>
      </c>
      <c r="B14" s="12" t="inlineStr">
        <is>
          <t>Label</t>
        </is>
      </c>
      <c r="C14" s="12" t="inlineStr">
        <is>
          <t>Coeff</t>
        </is>
      </c>
      <c r="D14" s="12" t="inlineStr">
        <is>
          <t>Std Error</t>
        </is>
      </c>
      <c r="E14" s="12" t="inlineStr">
        <is>
          <t>t-Stat</t>
        </is>
      </c>
      <c r="F14" s="12" t="inlineStr">
        <is>
          <t>p-Value</t>
        </is>
      </c>
      <c r="G14" s="12" t="inlineStr">
        <is>
          <t>CI Lower</t>
        </is>
      </c>
      <c r="H14" s="12" t="inlineStr">
        <is>
          <t>CI Upper</t>
        </is>
      </c>
    </row>
    <row r="15" ht="15" customHeight="1">
      <c r="A15" s="21" t="inlineStr">
        <is>
          <t>Intercept</t>
        </is>
      </c>
      <c r="B15" s="26" t="n"/>
      <c r="C15" s="23" t="n"/>
      <c r="D15" s="23" t="n"/>
      <c r="E15" s="23" t="n"/>
      <c r="F15" s="23" t="n"/>
      <c r="G15" s="23" t="n"/>
      <c r="H15" s="23" t="n"/>
    </row>
    <row r="16" ht="15" customHeight="1">
      <c r="A16" s="33" t="inlineStr">
        <is>
          <t>PC1</t>
        </is>
      </c>
      <c r="B16" s="35">
        <f>IFERROR(CONFIG!C28,"")</f>
        <v/>
      </c>
      <c r="C16" s="22" t="n"/>
      <c r="D16" s="22" t="n"/>
      <c r="E16" s="22" t="n"/>
      <c r="F16" s="22" t="n"/>
      <c r="G16" s="22" t="n"/>
      <c r="H16" s="22" t="n"/>
    </row>
    <row r="17" ht="15" customHeight="1">
      <c r="A17" s="33" t="inlineStr">
        <is>
          <t>PC2</t>
        </is>
      </c>
      <c r="B17" s="35">
        <f>IFERROR(CONFIG!C29,"")</f>
        <v/>
      </c>
      <c r="C17" s="23" t="n"/>
      <c r="D17" s="23" t="n"/>
      <c r="E17" s="23" t="n"/>
      <c r="F17" s="23" t="n"/>
      <c r="G17" s="23" t="n"/>
      <c r="H17" s="23" t="n"/>
    </row>
    <row r="18" ht="15" customHeight="1">
      <c r="A18" s="33" t="inlineStr">
        <is>
          <t>PC3</t>
        </is>
      </c>
      <c r="B18" s="35">
        <f>IFERROR(CONFIG!C30,"")</f>
        <v/>
      </c>
      <c r="C18" s="22" t="n"/>
      <c r="D18" s="22" t="n"/>
      <c r="E18" s="22" t="n"/>
      <c r="F18" s="22" t="n"/>
      <c r="G18" s="22" t="n"/>
      <c r="H18" s="22" t="n"/>
    </row>
    <row r="19" ht="15" customHeight="1">
      <c r="A19" s="33" t="inlineStr">
        <is>
          <t>PC4</t>
        </is>
      </c>
      <c r="B19" s="35">
        <f>IFERROR(CONFIG!C31,"")</f>
        <v/>
      </c>
      <c r="C19" s="23" t="n"/>
      <c r="D19" s="23" t="n"/>
      <c r="E19" s="23" t="n"/>
      <c r="F19" s="23" t="n"/>
      <c r="G19" s="23" t="n"/>
      <c r="H19" s="23" t="n"/>
    </row>
    <row r="20" ht="15" customHeight="1">
      <c r="A20" s="33" t="inlineStr">
        <is>
          <t>PC5</t>
        </is>
      </c>
      <c r="B20" s="35">
        <f>IFERROR(CONFIG!C32,"")</f>
        <v/>
      </c>
      <c r="C20" s="22" t="n"/>
      <c r="D20" s="22" t="n"/>
      <c r="E20" s="22" t="n"/>
      <c r="F20" s="22" t="n"/>
      <c r="G20" s="22" t="n"/>
      <c r="H20" s="22" t="n"/>
    </row>
    <row r="21" ht="15" customHeight="1">
      <c r="A21" s="33" t="inlineStr">
        <is>
          <t>PC6</t>
        </is>
      </c>
      <c r="B21" s="35">
        <f>IFERROR(CONFIG!C33,"")</f>
        <v/>
      </c>
      <c r="C21" s="23" t="n"/>
      <c r="D21" s="23" t="n"/>
      <c r="E21" s="23" t="n"/>
      <c r="F21" s="23" t="n"/>
      <c r="G21" s="23" t="n"/>
      <c r="H21" s="23" t="n"/>
    </row>
    <row r="22" ht="15" customHeight="1">
      <c r="A22" s="33" t="inlineStr">
        <is>
          <t>PC7</t>
        </is>
      </c>
      <c r="B22" s="35">
        <f>IFERROR(CONFIG!C34,"")</f>
        <v/>
      </c>
      <c r="C22" s="22" t="n"/>
      <c r="D22" s="22" t="n"/>
      <c r="E22" s="22" t="n"/>
      <c r="F22" s="22" t="n"/>
      <c r="G22" s="22" t="n"/>
      <c r="H22" s="22" t="n"/>
    </row>
    <row r="23" ht="15" customHeight="1">
      <c r="A23" s="33" t="inlineStr">
        <is>
          <t>PC8</t>
        </is>
      </c>
      <c r="B23" s="35">
        <f>IFERROR(CONFIG!C35,"")</f>
        <v/>
      </c>
      <c r="C23" s="23" t="n"/>
      <c r="D23" s="23" t="n"/>
      <c r="E23" s="23" t="n"/>
      <c r="F23" s="23" t="n"/>
      <c r="G23" s="23" t="n"/>
      <c r="H23" s="23" t="n"/>
    </row>
    <row r="24" ht="15" customHeight="1">
      <c r="A24" s="33" t="inlineStr">
        <is>
          <t>PC9</t>
        </is>
      </c>
      <c r="B24" s="35">
        <f>IFERROR(CONFIG!C36,"")</f>
        <v/>
      </c>
      <c r="C24" s="22" t="n"/>
      <c r="D24" s="22" t="n"/>
      <c r="E24" s="22" t="n"/>
      <c r="F24" s="22" t="n"/>
      <c r="G24" s="22" t="n"/>
      <c r="H24" s="22" t="n"/>
    </row>
    <row r="25" ht="15" customHeight="1">
      <c r="A25" s="33" t="inlineStr">
        <is>
          <t>PC10</t>
        </is>
      </c>
      <c r="B25" s="35">
        <f>IFERROR(CONFIG!C37,"")</f>
        <v/>
      </c>
      <c r="C25" s="23" t="n"/>
      <c r="D25" s="23" t="n"/>
      <c r="E25" s="23" t="n"/>
      <c r="F25" s="23" t="n"/>
      <c r="G25" s="23" t="n"/>
      <c r="H25" s="23" t="n"/>
    </row>
    <row r="27" ht="20" customHeight="1">
      <c r="A27" s="11" t="inlineStr">
        <is>
          <t>3.  BACK-TRANSFORMED FACTOR CONTRIBUTIONS  (via PC loadings)</t>
        </is>
      </c>
    </row>
    <row r="28" ht="18" customHeight="1">
      <c r="A28" s="12" t="inlineStr">
        <is>
          <t>Factor</t>
        </is>
      </c>
      <c r="B28" s="12" t="inlineStr">
        <is>
          <t>Display Name</t>
        </is>
      </c>
      <c r="C28" s="12" t="inlineStr">
        <is>
          <t>PC Contribution</t>
        </is>
      </c>
      <c r="D28" s="12" t="inlineStr">
        <is>
          <t>% of R²</t>
        </is>
      </c>
    </row>
    <row r="29" ht="15" customHeight="1">
      <c r="A29" s="32" t="inlineStr">
        <is>
          <t>Factor 1</t>
        </is>
      </c>
      <c r="B29" s="26">
        <f>IFERROR(CONFIG!C15,"")</f>
        <v/>
      </c>
      <c r="C29" s="22" t="n"/>
      <c r="D29" s="22" t="n"/>
    </row>
    <row r="30" ht="15" customHeight="1">
      <c r="A30" s="32" t="inlineStr">
        <is>
          <t>Factor 2</t>
        </is>
      </c>
      <c r="B30" s="26">
        <f>IFERROR(CONFIG!C16,"")</f>
        <v/>
      </c>
      <c r="C30" s="23" t="n"/>
      <c r="D30" s="23" t="n"/>
    </row>
    <row r="31" ht="15" customHeight="1">
      <c r="A31" s="32" t="inlineStr">
        <is>
          <t>Factor 3</t>
        </is>
      </c>
      <c r="B31" s="26">
        <f>IFERROR(CONFIG!C17,"")</f>
        <v/>
      </c>
      <c r="C31" s="22" t="n"/>
      <c r="D31" s="22" t="n"/>
    </row>
    <row r="32" ht="15" customHeight="1">
      <c r="A32" s="32" t="inlineStr">
        <is>
          <t>Factor 4</t>
        </is>
      </c>
      <c r="B32" s="26">
        <f>IFERROR(CONFIG!C18,"")</f>
        <v/>
      </c>
      <c r="C32" s="23" t="n"/>
      <c r="D32" s="23" t="n"/>
    </row>
    <row r="33" ht="15" customHeight="1">
      <c r="A33" s="32" t="inlineStr">
        <is>
          <t>Factor 5</t>
        </is>
      </c>
      <c r="B33" s="26">
        <f>IFERROR(CONFIG!C19,"")</f>
        <v/>
      </c>
      <c r="C33" s="22" t="n"/>
      <c r="D33" s="22" t="n"/>
    </row>
    <row r="34" ht="15" customHeight="1">
      <c r="A34" s="32" t="inlineStr">
        <is>
          <t>Factor 6</t>
        </is>
      </c>
      <c r="B34" s="26">
        <f>IFERROR(CONFIG!C20,"")</f>
        <v/>
      </c>
      <c r="C34" s="23" t="n"/>
      <c r="D34" s="23" t="n"/>
    </row>
    <row r="35" ht="15" customHeight="1">
      <c r="A35" s="32" t="inlineStr">
        <is>
          <t>Factor 7</t>
        </is>
      </c>
      <c r="B35" s="26">
        <f>IFERROR(CONFIG!C21,"")</f>
        <v/>
      </c>
      <c r="C35" s="22" t="n"/>
      <c r="D35" s="22" t="n"/>
    </row>
    <row r="36" ht="15" customHeight="1">
      <c r="A36" s="32" t="inlineStr">
        <is>
          <t>Factor 8</t>
        </is>
      </c>
      <c r="B36" s="26">
        <f>IFERROR(CONFIG!C22,"")</f>
        <v/>
      </c>
      <c r="C36" s="23" t="n"/>
      <c r="D36" s="23" t="n"/>
    </row>
    <row r="37" ht="15" customHeight="1">
      <c r="A37" s="32" t="inlineStr">
        <is>
          <t>Factor 9</t>
        </is>
      </c>
      <c r="B37" s="26">
        <f>IFERROR(CONFIG!C23,"")</f>
        <v/>
      </c>
      <c r="C37" s="22" t="n"/>
      <c r="D37" s="22" t="n"/>
    </row>
    <row r="38" ht="15" customHeight="1">
      <c r="A38" s="32" t="inlineStr">
        <is>
          <t>Factor 10</t>
        </is>
      </c>
      <c r="B38" s="26">
        <f>IFERROR(CONFIG!C24,"")</f>
        <v/>
      </c>
      <c r="C38" s="23" t="n"/>
      <c r="D38" s="23" t="n"/>
    </row>
  </sheetData>
  <mergeCells count="5">
    <mergeCell ref="A4:H4"/>
    <mergeCell ref="A2:H2"/>
    <mergeCell ref="A13:H13"/>
    <mergeCell ref="A1:H1"/>
    <mergeCell ref="A27:H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P49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CHARTS  —  Populated by RUN PCA / RUN REGRESSION</t>
        </is>
      </c>
    </row>
    <row r="2" ht="18" customHeight="1">
      <c r="A2" s="2" t="inlineStr">
        <is>
          <t>Charts are created / refreshed automatically when you run the analysis. Scree plot | Cumulative Variance | Factor Loadings Heatmap | PC Scores | Residuals</t>
        </is>
      </c>
    </row>
    <row r="4" ht="20" customHeight="1">
      <c r="A4" s="11" t="inlineStr">
        <is>
          <t>SCREE PLOT</t>
        </is>
      </c>
    </row>
    <row r="5" ht="14" customHeight="1">
      <c r="A5" s="36" t="inlineStr">
        <is>
          <t>(chart auto-populated by VBA)</t>
        </is>
      </c>
    </row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6" ht="20" customHeight="1">
      <c r="A26" s="11" t="inlineStr">
        <is>
          <t>CUMULATIVE VARIANCE EXPLAINED</t>
        </is>
      </c>
      <c r="I26" s="11" t="inlineStr">
        <is>
          <t>PC SCORES (Time Series)</t>
        </is>
      </c>
    </row>
    <row r="27" ht="14" customHeight="1">
      <c r="A27" s="36" t="inlineStr">
        <is>
          <t>(chart auto-populated by VBA)</t>
        </is>
      </c>
      <c r="I27" s="36" t="inlineStr">
        <is>
          <t>(chart auto-populated by VBA)</t>
        </is>
      </c>
    </row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8" ht="20" customHeight="1">
      <c r="A48" s="11" t="inlineStr">
        <is>
          <t>FACTOR LOADINGS HEATMAP</t>
        </is>
      </c>
    </row>
    <row r="49" ht="14" customHeight="1">
      <c r="A49" s="36" t="inlineStr">
        <is>
          <t>(chart auto-populated by VBA)</t>
        </is>
      </c>
    </row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</sheetData>
  <mergeCells count="10">
    <mergeCell ref="A49:P49"/>
    <mergeCell ref="A26:H26"/>
    <mergeCell ref="A5:P5"/>
    <mergeCell ref="I26:P26"/>
    <mergeCell ref="A1:P1"/>
    <mergeCell ref="A4:P4"/>
    <mergeCell ref="A48:P48"/>
    <mergeCell ref="I27:P27"/>
    <mergeCell ref="A27:H2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2026-06-24T22:13:14Z</dcterms:created>
  <dcterms:modified xsi:type="dcterms:W3CDTF">2026-06-24T22:13:14Z</dcterms:modified>
</cp:coreProperties>
</file>